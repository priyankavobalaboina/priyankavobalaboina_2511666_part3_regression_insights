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DA975AC1-D958-4272-8BD3-C7969687F3AD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Model_Summary" sheetId="1" r:id="rId1"/>
    <sheet name="Coefficient_Details" sheetId="2" r:id="rId2"/>
    <sheet name="Formulas_Model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E34" i="2" s="1"/>
  <c r="D33" i="2"/>
  <c r="D32" i="2"/>
  <c r="E32" i="2" s="1"/>
  <c r="D31" i="2"/>
  <c r="D30" i="2"/>
  <c r="E30" i="2" s="1"/>
  <c r="D29" i="2"/>
  <c r="D28" i="2"/>
  <c r="D27" i="2"/>
  <c r="E27" i="2" s="1"/>
  <c r="F49" i="2"/>
  <c r="F48" i="2"/>
  <c r="F47" i="2"/>
  <c r="F46" i="2"/>
  <c r="F45" i="2"/>
  <c r="F44" i="2"/>
  <c r="F43" i="2"/>
  <c r="F42" i="2"/>
  <c r="F41" i="2"/>
  <c r="E33" i="2"/>
  <c r="E31" i="2"/>
  <c r="E29" i="2"/>
  <c r="E28" i="2"/>
  <c r="E23" i="2"/>
  <c r="F23" i="2" s="1"/>
  <c r="D23" i="2"/>
  <c r="E22" i="2"/>
  <c r="F22" i="2" s="1"/>
  <c r="D22" i="2"/>
  <c r="E21" i="2"/>
  <c r="F21" i="2" s="1"/>
  <c r="D21" i="2"/>
  <c r="E20" i="2"/>
  <c r="F20" i="2" s="1"/>
  <c r="D20" i="2"/>
  <c r="F19" i="2"/>
  <c r="E19" i="2"/>
  <c r="D19" i="2"/>
  <c r="E18" i="2"/>
  <c r="F18" i="2" s="1"/>
  <c r="D18" i="2"/>
  <c r="F17" i="2"/>
  <c r="E17" i="2"/>
  <c r="D17" i="2"/>
  <c r="E16" i="2"/>
  <c r="F16" i="2" s="1"/>
  <c r="D16" i="2"/>
</calcChain>
</file>

<file path=xl/sharedStrings.xml><?xml version="1.0" encoding="utf-8"?>
<sst xmlns="http://schemas.openxmlformats.org/spreadsheetml/2006/main" count="716" uniqueCount="199">
  <si>
    <t/>
  </si>
  <si>
    <t>REGRESSION MODEL COMPARISON SUMMARY</t>
  </si>
  <si>
    <t>Dependent Variable: monthly_sales (all models)</t>
  </si>
  <si>
    <t>Metric</t>
  </si>
  <si>
    <t>Model 1 (Footfall)</t>
  </si>
  <si>
    <t>Model 2 (Marketing Spend)</t>
  </si>
  <si>
    <t>Model 3 (Multiple Regression - FINAL)</t>
  </si>
  <si>
    <t>Type</t>
  </si>
  <si>
    <t>Simple Linear</t>
  </si>
  <si>
    <t>Multiple Linear</t>
  </si>
  <si>
    <t>Independent Variables</t>
  </si>
  <si>
    <t>footfall</t>
  </si>
  <si>
    <t>marketing_spend</t>
  </si>
  <si>
    <t>footfall, marketing_spend, staff_count, inventory_availability_pct, type_Airport, type_HighStreet, type_Mall</t>
  </si>
  <si>
    <t>Number of Predictors</t>
  </si>
  <si>
    <t>R-squared</t>
  </si>
  <si>
    <t>Adjusted R-squared</t>
  </si>
  <si>
    <t>Standard Error</t>
  </si>
  <si>
    <t>F-statistic</t>
  </si>
  <si>
    <t>F-test p-value</t>
  </si>
  <si>
    <t>&lt;0.001</t>
  </si>
  <si>
    <t>All Variables Significant?</t>
  </si>
  <si>
    <t>Yes</t>
  </si>
  <si>
    <t>Yes (all p&lt;0.05)</t>
  </si>
  <si>
    <t>Business Usefulness</t>
  </si>
  <si>
    <t>Good - footfall is strong single predictor</t>
  </si>
  <si>
    <t>Limited - explains only 16.7%</t>
  </si>
  <si>
    <t>Best - explains 82.2% with actionable insights</t>
  </si>
  <si>
    <t>Recommended?</t>
  </si>
  <si>
    <t>No</t>
  </si>
  <si>
    <t>YES - Final Model</t>
  </si>
  <si>
    <t>MULTIPLE REGRESSION - COEFFICIENT DETAILS (Model 3)</t>
  </si>
  <si>
    <t>Final Model: monthly_sales ~ footfall + marketing_spend + staff_count + inventory_availability_pct + type_Airport + type_HighStreet + type_Mall</t>
  </si>
  <si>
    <t>Variable</t>
  </si>
  <si>
    <t>Coefficient</t>
  </si>
  <si>
    <t>Std Error</t>
  </si>
  <si>
    <t>t-Stat</t>
  </si>
  <si>
    <t>P-value</t>
  </si>
  <si>
    <t>Significant?</t>
  </si>
  <si>
    <t>Business Meaning</t>
  </si>
  <si>
    <t>Intercept</t>
  </si>
  <si>
    <t>Base sales when all predictors are zero</t>
  </si>
  <si>
    <t>Each visitor adds ~$29 to sales</t>
  </si>
  <si>
    <t>Each $1 marketing returns ~$1.16 in sales</t>
  </si>
  <si>
    <t>staff_count</t>
  </si>
  <si>
    <t>Each additional staff member adds ~$2,636</t>
  </si>
  <si>
    <t>inventory_availability_pct</t>
  </si>
  <si>
    <t>Each 1% increase in availability adds ~$3,100</t>
  </si>
  <si>
    <t>type_Airport</t>
  </si>
  <si>
    <t>Airport stores earn ~$39,962 more than Residential</t>
  </si>
  <si>
    <t>type_HighStreet</t>
  </si>
  <si>
    <t>High Street stores earn ~$17,558 more than Residential</t>
  </si>
  <si>
    <t>type_Mall</t>
  </si>
  <si>
    <t>Mall stores earn ~$28,985 more than Residential</t>
  </si>
  <si>
    <t>T-STAT VERIFICATION FORMULAS</t>
  </si>
  <si>
    <t>Formula</t>
  </si>
  <si>
    <t>Calculation</t>
  </si>
  <si>
    <t>Computed t</t>
  </si>
  <si>
    <t>Matches Original?</t>
  </si>
  <si>
    <t>t = Coefficient / Std Error</t>
  </si>
  <si>
    <t>P-VALUE EXCEL FORMULAS (df = 310)</t>
  </si>
  <si>
    <t>Excel Formula (text)</t>
  </si>
  <si>
    <t>Computed p-value</t>
  </si>
  <si>
    <t>Significant (p&lt;0.05)?</t>
  </si>
  <si>
    <t>T.DIST.2T(ABS(E5), 310)</t>
  </si>
  <si>
    <t>T.DIST.2T(ABS(E6), 310)</t>
  </si>
  <si>
    <t>T.DIST.2T(ABS(E7), 310)</t>
  </si>
  <si>
    <t>T.DIST.2T(ABS(E8), 310)</t>
  </si>
  <si>
    <t>T.DIST.2T(ABS(E9), 310)</t>
  </si>
  <si>
    <t>T.DIST.2T(ABS(E10), 310)</t>
  </si>
  <si>
    <t>T.DIST.2T(ABS(E11), 310)</t>
  </si>
  <si>
    <t>T.DIST.2T(ABS(E12), 310)</t>
  </si>
  <si>
    <t>STEP-BY-STEP PREDICTION EXAMPLE</t>
  </si>
  <si>
    <t>Predict monthly_sales for a Mall store with:</t>
  </si>
  <si>
    <t>footfall=5000, marketing_spend=80000, staff_count=20, inventory_availability_pct=75</t>
  </si>
  <si>
    <t>Step</t>
  </si>
  <si>
    <t>Component</t>
  </si>
  <si>
    <t>Value Used</t>
  </si>
  <si>
    <t>Contribution ($)</t>
  </si>
  <si>
    <t>1</t>
  </si>
  <si>
    <t>2</t>
  </si>
  <si>
    <t>3</t>
  </si>
  <si>
    <t>4</t>
  </si>
  <si>
    <t>5</t>
  </si>
  <si>
    <t>6</t>
  </si>
  <si>
    <t>7</t>
  </si>
  <si>
    <t>8</t>
  </si>
  <si>
    <t>PREDICTED SALES:</t>
  </si>
  <si>
    <t>REGRESSION FORMULAS - STUDENT REFERENCE GUIDE</t>
  </si>
  <si>
    <t>All formulas for Model 3 (Multiple Regression) with n=318, k=7, df=310</t>
  </si>
  <si>
    <t>1. R-SQUARED (Coefficient of Determination)</t>
  </si>
  <si>
    <t>Formula:</t>
  </si>
  <si>
    <t>R² = 1 - (SS_Residual / SS_Total)</t>
  </si>
  <si>
    <t>What it tells you:</t>
  </si>
  <si>
    <t>Proportion of variance in sales explained by the model</t>
  </si>
  <si>
    <t>Model 3 value:</t>
  </si>
  <si>
    <t>0.8224 (82.24% of sales variation explained)</t>
  </si>
  <si>
    <t>Excel formula:</t>
  </si>
  <si>
    <t xml:space="preserve">  =1-(DEVSQ(residuals)/DEVSQ(actual_sales))</t>
  </si>
  <si>
    <t>Alternative:</t>
  </si>
  <si>
    <t xml:space="preserve">  =RSQ(actual_values, predicted_values)</t>
  </si>
  <si>
    <t>Decision rule:</t>
  </si>
  <si>
    <t>R² &gt; 0.7 = Good fit; R² &gt; 0.8 = Strong fit ✓</t>
  </si>
  <si>
    <t>2. ADJUSTED R-SQUARED (Penalizes Extra Variables)</t>
  </si>
  <si>
    <t>Adj R² = 1 - [(1-R²)(n-1) / (n-k-1)]</t>
  </si>
  <si>
    <t>Where:</t>
  </si>
  <si>
    <t>n = sample size (318), k = number of predictors (7)</t>
  </si>
  <si>
    <t>Worked example:</t>
  </si>
  <si>
    <t>Step 1: (1-0.8224) = 0.1776</t>
  </si>
  <si>
    <t>Step 2: 0.1776 x (318-1)/(318-7-1) = 0.1776 x 317/310</t>
  </si>
  <si>
    <t>Step 3: 0.1776 x 1.0226 = 0.1816</t>
  </si>
  <si>
    <t>Step 4: 1 - 0.1816 = 0.8184 ✓</t>
  </si>
  <si>
    <t xml:space="preserve">  =1-((1-R2_cell)*(318-1)/(318-7-1))</t>
  </si>
  <si>
    <t>If Adj R² &lt;&lt; R², you may be overfitting</t>
  </si>
  <si>
    <t>3. STANDARD ERROR OF REGRESSION (Se)</t>
  </si>
  <si>
    <t>Se = SQRT( SS_Residual / (n - k - 1) )</t>
  </si>
  <si>
    <t>44,223.53</t>
  </si>
  <si>
    <t>What it means:</t>
  </si>
  <si>
    <t>Average prediction error is about $44,224</t>
  </si>
  <si>
    <t xml:space="preserve">  =SQRT(SUMPRODUCT((actual-predicted)^2)/(318-7-1))</t>
  </si>
  <si>
    <t>Smaller Se = more precise predictions ✓</t>
  </si>
  <si>
    <t>4. F-STATISTIC &amp; F-TEST (Overall Model Significance)</t>
  </si>
  <si>
    <t>F = (SS_Regression / k) / (SS_Residual / (n-k-1))</t>
  </si>
  <si>
    <t>Simplified:</t>
  </si>
  <si>
    <t>F = (R²/k) / ((1-R²)/(n-k-1))</t>
  </si>
  <si>
    <t>Step 1: R²/k = 0.8224/7 = 0.1175</t>
  </si>
  <si>
    <t>Step 2: (1-R²)/(n-k-1) = 0.1776/310 = 0.000573</t>
  </si>
  <si>
    <t>Step 3: F = 0.1175/0.000573 = 205.1 (approx 206.35)</t>
  </si>
  <si>
    <t>Excel p-value:</t>
  </si>
  <si>
    <t xml:space="preserve">  =F.DIST.RT(206.35, 7, 310)</t>
  </si>
  <si>
    <t>If p-value &lt; 0.05, model is statistically significant ✓</t>
  </si>
  <si>
    <t>5. t-STATISTIC (Individual Coefficient Significance)</t>
  </si>
  <si>
    <t>t = Coefficient / Standard Error</t>
  </si>
  <si>
    <t>Example (footfall):</t>
  </si>
  <si>
    <t>t = 28.9428 / 2.5054 = 11.552</t>
  </si>
  <si>
    <t>P-value formula:</t>
  </si>
  <si>
    <t xml:space="preserve">  =T.DIST.2T(ABS(t_value), degrees_of_freedom)</t>
  </si>
  <si>
    <t>Example:</t>
  </si>
  <si>
    <t xml:space="preserve">  =T.DIST.2T(ABS(11.552), 310)</t>
  </si>
  <si>
    <t>Significance test:</t>
  </si>
  <si>
    <t xml:space="preserve">  =IF(p_value &lt; 0.05, "Significant", "Not Significant")</t>
  </si>
  <si>
    <t>|t| &gt; 1.97 (approx) means significant at 95% confidence ✓</t>
  </si>
  <si>
    <t>6. REGRESSION EQUATION (Prediction Formula)</t>
  </si>
  <si>
    <t>General form:</t>
  </si>
  <si>
    <t>Y = b0 + b1*X1 + b2*X2 + ... + bk*Xk</t>
  </si>
  <si>
    <t>Model 3 equation:</t>
  </si>
  <si>
    <t>monthly_sales = 91,266.06</t>
  </si>
  <si>
    <t xml:space="preserve">  + 28.94 x footfall</t>
  </si>
  <si>
    <t xml:space="preserve">  + 1.16 x marketing_spend</t>
  </si>
  <si>
    <t xml:space="preserve">  + 2,636.17 x staff_count</t>
  </si>
  <si>
    <t xml:space="preserve">  + 3,100.12 x inventory_availability_pct</t>
  </si>
  <si>
    <t xml:space="preserve">  + 39,962.03 x type_Airport (1 or 0)</t>
  </si>
  <si>
    <t xml:space="preserve">  + 17,557.64 x type_HighStreet (1 or 0)</t>
  </si>
  <si>
    <t xml:space="preserve">  + 28,984.87 x type_Mall (1 or 0)</t>
  </si>
  <si>
    <t>Excel shortcut:</t>
  </si>
  <si>
    <t xml:space="preserve">  =SUMPRODUCT(coefficients_range, values_range) + intercept</t>
  </si>
  <si>
    <t>7. CONFIDENCE INTERVALS (95%) for Coefficients</t>
  </si>
  <si>
    <t>CI = Beta_i +/- t_critical x SE(Beta_i)</t>
  </si>
  <si>
    <t>t_critical = T.INV.2T(0.05, 310) = approx 1.968</t>
  </si>
  <si>
    <t>Lower = 28.9428 - 1.968 x 2.5054 = 24.01</t>
  </si>
  <si>
    <t>Upper = 28.9428 + 1.968 x 2.5054 = 33.87</t>
  </si>
  <si>
    <t>Excel formulas:</t>
  </si>
  <si>
    <t xml:space="preserve">  Lower: =coefficient - T.INV.2T(0.05,310)*std_error</t>
  </si>
  <si>
    <t xml:space="preserve">  Upper: =coefficient + T.INV.2T(0.05,310)*std_error</t>
  </si>
  <si>
    <t>Interpretation:</t>
  </si>
  <si>
    <t>If CI does NOT contain 0, the variable is significant ✓</t>
  </si>
  <si>
    <t>8. MODEL COMPARISON CRITERIA</t>
  </si>
  <si>
    <t>AIC Formula:</t>
  </si>
  <si>
    <t>AIC = n x ln(SS_Res/n) + 2k</t>
  </si>
  <si>
    <t>BIC Formula:</t>
  </si>
  <si>
    <t>BIC = n x ln(SS_Res/n) + k x ln(n)</t>
  </si>
  <si>
    <t>Partial F-test:</t>
  </si>
  <si>
    <t>F = [(SS_Res_reduced - SS_Res_full)/q] / [SS_Res_full/(n-k-1)]</t>
  </si>
  <si>
    <t>where q = number of extra variables in full model</t>
  </si>
  <si>
    <t>Excel AIC:</t>
  </si>
  <si>
    <t xml:space="preserve">  =318*LN(SS_Residual/318) + 2*8</t>
  </si>
  <si>
    <t>Lower AIC/BIC = better model; Partial F tests added variables</t>
  </si>
  <si>
    <t>QUICK REFERENCE - DECISION RULES</t>
  </si>
  <si>
    <t>Check</t>
  </si>
  <si>
    <t>Rule</t>
  </si>
  <si>
    <t>Model 3 Result</t>
  </si>
  <si>
    <t>Pass?</t>
  </si>
  <si>
    <t>Overall significance</t>
  </si>
  <si>
    <t>F-test p-value &lt; 0.05</t>
  </si>
  <si>
    <t>p &lt; 0.001</t>
  </si>
  <si>
    <t>✓ Pass</t>
  </si>
  <si>
    <t>Model fit</t>
  </si>
  <si>
    <t>R² &gt; 0.70</t>
  </si>
  <si>
    <t>0.8224</t>
  </si>
  <si>
    <t>No overfitting</t>
  </si>
  <si>
    <t>Adj R² close to R²</t>
  </si>
  <si>
    <t>0.8184 vs 0.8224 (diff = 0.004)</t>
  </si>
  <si>
    <t>All variables significant</t>
  </si>
  <si>
    <t>Each t-test p &lt; 0.05</t>
  </si>
  <si>
    <t>All p &lt; 0.05</t>
  </si>
  <si>
    <t>Prediction precision</t>
  </si>
  <si>
    <t>Se reasonable for data scale</t>
  </si>
  <si>
    <t>$44,224 (avg sales ~$350k)</t>
  </si>
  <si>
    <t>✓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</si>
</sst>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10" fillId="0" borderId="19" xfId="0" applyFont="1" applyBorder="1"/>
    <xf numFmtId="0" fontId="11" fillId="0" borderId="19" xfId="0" applyFont="1" applyBorder="1" applyAlignment="1">
      <alignment wrapText="1"/>
    </xf>
    <xf numFmtId="0" fontId="12" fillId="0" borderId="19" xfId="0" applyFont="1" applyBorder="1"/>
    <xf numFmtId="0" fontId="9" fillId="0" borderId="11" xfId="0" applyFont="1" applyBorder="1"/>
    <xf numFmtId="0" fontId="11" fillId="0" borderId="13" xfId="0" applyFont="1" applyBorder="1" applyAlignment="1">
      <alignment wrapText="1"/>
    </xf>
    <xf numFmtId="0" fontId="9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9" fillId="8" borderId="18" xfId="0" applyFont="1" applyFill="1" applyBorder="1"/>
    <xf numFmtId="0" fontId="10" fillId="8" borderId="19" xfId="0" applyFont="1" applyFill="1" applyBorder="1"/>
    <xf numFmtId="0" fontId="0" fillId="8" borderId="18" xfId="0" applyFill="1" applyBorder="1"/>
    <xf numFmtId="0" fontId="11" fillId="8" borderId="19" xfId="0" applyFont="1" applyFill="1" applyBorder="1" applyAlignment="1">
      <alignment wrapText="1"/>
    </xf>
    <xf numFmtId="0" fontId="12" fillId="8" borderId="19" xfId="0" applyFont="1" applyFill="1" applyBorder="1"/>
    <xf numFmtId="0" fontId="9" fillId="8" borderId="11" xfId="0" applyFont="1" applyFill="1" applyBorder="1"/>
    <xf numFmtId="0" fontId="11" fillId="8" borderId="13" xfId="0" applyFont="1" applyFill="1" applyBorder="1" applyAlignment="1">
      <alignment wrapText="1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E95F8A-6AE5-4CD5-8D6E-1C329CEF2269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e970236d-df25-48c7-a11a-1f9507393c1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24" sqref="E24"/>
    </sheetView>
  </sheetViews>
  <sheetFormatPr defaultRowHeight="14.4" x14ac:dyDescent="0.3"/>
  <cols>
    <col min="1" max="1" width="3.69921875" customWidth="1"/>
    <col min="2" max="2" width="28.69921875" customWidth="1"/>
    <col min="3" max="5" width="38.69921875" customWidth="1"/>
  </cols>
  <sheetData>
    <row r="1" spans="1:5" ht="17.850000000000001" x14ac:dyDescent="0.35">
      <c r="A1" s="1" t="s">
        <v>0</v>
      </c>
      <c r="B1" s="64" t="s">
        <v>1</v>
      </c>
      <c r="C1" s="65"/>
      <c r="D1" s="65"/>
      <c r="E1" s="66"/>
    </row>
    <row r="2" spans="1:5" ht="15" thickBot="1" x14ac:dyDescent="0.35">
      <c r="A2" s="2" t="s">
        <v>0</v>
      </c>
      <c r="B2" s="67" t="s">
        <v>2</v>
      </c>
      <c r="C2" s="68"/>
      <c r="D2" s="68"/>
      <c r="E2" s="69"/>
    </row>
    <row r="3" spans="1:5" x14ac:dyDescent="0.3">
      <c r="A3" t="s">
        <v>0</v>
      </c>
      <c r="B3" t="s">
        <v>0</v>
      </c>
      <c r="C3" t="s">
        <v>0</v>
      </c>
      <c r="D3" t="s">
        <v>0</v>
      </c>
      <c r="E3" t="s">
        <v>0</v>
      </c>
    </row>
    <row r="4" spans="1:5" x14ac:dyDescent="0.3">
      <c r="A4" s="3" t="s">
        <v>0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x14ac:dyDescent="0.3">
      <c r="A5" s="4" t="s">
        <v>0</v>
      </c>
      <c r="B5" s="7" t="s">
        <v>7</v>
      </c>
      <c r="C5" s="8" t="s">
        <v>8</v>
      </c>
      <c r="D5" s="8" t="s">
        <v>8</v>
      </c>
      <c r="E5" s="8" t="s">
        <v>9</v>
      </c>
    </row>
    <row r="6" spans="1:5" ht="43.2" x14ac:dyDescent="0.3">
      <c r="A6" s="4" t="s">
        <v>0</v>
      </c>
      <c r="B6" s="7" t="s">
        <v>10</v>
      </c>
      <c r="C6" s="8" t="s">
        <v>11</v>
      </c>
      <c r="D6" s="8" t="s">
        <v>12</v>
      </c>
      <c r="E6" s="8" t="s">
        <v>13</v>
      </c>
    </row>
    <row r="7" spans="1:5" x14ac:dyDescent="0.3">
      <c r="A7" s="4" t="s">
        <v>0</v>
      </c>
      <c r="B7" s="7" t="s">
        <v>14</v>
      </c>
      <c r="C7" s="8">
        <v>1</v>
      </c>
      <c r="D7" s="8">
        <v>1</v>
      </c>
      <c r="E7" s="8">
        <v>7</v>
      </c>
    </row>
    <row r="8" spans="1:5" x14ac:dyDescent="0.3">
      <c r="A8" s="4" t="s">
        <v>0</v>
      </c>
      <c r="B8" s="7" t="s">
        <v>15</v>
      </c>
      <c r="C8" s="8">
        <v>0.73629999999999995</v>
      </c>
      <c r="D8" s="8">
        <v>0.16719999999999999</v>
      </c>
      <c r="E8" s="8">
        <v>0.82240000000000002</v>
      </c>
    </row>
    <row r="9" spans="1:5" x14ac:dyDescent="0.3">
      <c r="A9" s="4" t="s">
        <v>0</v>
      </c>
      <c r="B9" s="7" t="s">
        <v>16</v>
      </c>
      <c r="C9" s="8">
        <v>0.73550000000000004</v>
      </c>
      <c r="D9" s="8">
        <v>0.1646</v>
      </c>
      <c r="E9" s="8">
        <v>0.81840000000000002</v>
      </c>
    </row>
    <row r="10" spans="1:5" x14ac:dyDescent="0.3">
      <c r="A10" s="4" t="s">
        <v>0</v>
      </c>
      <c r="B10" s="7" t="s">
        <v>17</v>
      </c>
      <c r="C10" s="8">
        <v>53373.74</v>
      </c>
      <c r="D10" s="8">
        <v>94846.03</v>
      </c>
      <c r="E10" s="8">
        <v>44223.53</v>
      </c>
    </row>
    <row r="11" spans="1:5" x14ac:dyDescent="0.3">
      <c r="A11" s="4" t="s">
        <v>0</v>
      </c>
      <c r="B11" s="7" t="s">
        <v>18</v>
      </c>
      <c r="C11" s="8">
        <v>887.85</v>
      </c>
      <c r="D11" s="8">
        <v>63.86</v>
      </c>
      <c r="E11" s="8">
        <v>206.35</v>
      </c>
    </row>
    <row r="12" spans="1:5" x14ac:dyDescent="0.3">
      <c r="A12" s="4" t="s">
        <v>0</v>
      </c>
      <c r="B12" s="7" t="s">
        <v>19</v>
      </c>
      <c r="C12" s="8" t="s">
        <v>20</v>
      </c>
      <c r="D12" s="8" t="s">
        <v>20</v>
      </c>
      <c r="E12" s="8" t="s">
        <v>20</v>
      </c>
    </row>
    <row r="13" spans="1:5" x14ac:dyDescent="0.3">
      <c r="A13" s="4" t="s">
        <v>0</v>
      </c>
      <c r="B13" s="7" t="s">
        <v>21</v>
      </c>
      <c r="C13" s="8" t="s">
        <v>22</v>
      </c>
      <c r="D13" s="8" t="s">
        <v>22</v>
      </c>
      <c r="E13" s="8" t="s">
        <v>23</v>
      </c>
    </row>
    <row r="14" spans="1:5" x14ac:dyDescent="0.3">
      <c r="A14" s="4" t="s">
        <v>0</v>
      </c>
      <c r="B14" s="7" t="s">
        <v>24</v>
      </c>
      <c r="C14" s="8" t="s">
        <v>25</v>
      </c>
      <c r="D14" s="8" t="s">
        <v>26</v>
      </c>
      <c r="E14" s="8" t="s">
        <v>27</v>
      </c>
    </row>
    <row r="15" spans="1:5" x14ac:dyDescent="0.3">
      <c r="A15" s="4" t="s">
        <v>0</v>
      </c>
      <c r="B15" s="7" t="s">
        <v>28</v>
      </c>
      <c r="C15" s="8" t="s">
        <v>29</v>
      </c>
      <c r="D15" s="8" t="s">
        <v>29</v>
      </c>
      <c r="E15" s="8" t="s">
        <v>30</v>
      </c>
    </row>
  </sheetData>
  <mergeCells count="2">
    <mergeCell ref="B1:E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F55" sqref="F55"/>
    </sheetView>
  </sheetViews>
  <sheetFormatPr defaultRowHeight="14.4" x14ac:dyDescent="0.3"/>
  <cols>
    <col min="1" max="1" width="3.69921875" customWidth="1"/>
    <col min="2" max="2" width="28.69921875" style="10" customWidth="1"/>
    <col min="3" max="3" width="22.09765625" style="10" customWidth="1"/>
    <col min="4" max="4" width="16.296875" style="10" customWidth="1"/>
    <col min="5" max="5" width="17.69921875" style="10" customWidth="1"/>
    <col min="6" max="6" width="14.8984375" style="10" customWidth="1"/>
    <col min="7" max="7" width="10.19921875" style="10" customWidth="1"/>
    <col min="8" max="8" width="45.69921875" style="10" customWidth="1"/>
  </cols>
  <sheetData>
    <row r="1" spans="1:8" ht="17.850000000000001" x14ac:dyDescent="0.35">
      <c r="A1" s="1" t="s">
        <v>0</v>
      </c>
      <c r="B1" s="71" t="s">
        <v>31</v>
      </c>
      <c r="C1" s="72"/>
      <c r="D1" s="72"/>
      <c r="E1" s="72"/>
      <c r="F1" s="72"/>
      <c r="G1" s="72"/>
      <c r="H1" s="73"/>
    </row>
    <row r="2" spans="1:8" ht="15" thickBot="1" x14ac:dyDescent="0.35">
      <c r="A2" s="2" t="s">
        <v>0</v>
      </c>
      <c r="B2" s="67" t="s">
        <v>32</v>
      </c>
      <c r="C2" s="68"/>
      <c r="D2" s="68"/>
      <c r="E2" s="68"/>
      <c r="F2" s="68"/>
      <c r="G2" s="68"/>
      <c r="H2" s="69"/>
    </row>
    <row r="3" spans="1:8" ht="15" thickBot="1" x14ac:dyDescent="0.35">
      <c r="A3" t="s">
        <v>0</v>
      </c>
      <c r="B3" s="10" t="s">
        <v>0</v>
      </c>
      <c r="C3" s="10" t="s">
        <v>0</v>
      </c>
      <c r="D3" s="10" t="s">
        <v>0</v>
      </c>
      <c r="E3" s="10" t="s">
        <v>0</v>
      </c>
      <c r="F3" s="10" t="s">
        <v>0</v>
      </c>
      <c r="G3" s="10" t="s">
        <v>0</v>
      </c>
      <c r="H3" s="10" t="s">
        <v>0</v>
      </c>
    </row>
    <row r="4" spans="1:8" ht="15" thickBot="1" x14ac:dyDescent="0.35">
      <c r="A4" t="s">
        <v>0</v>
      </c>
      <c r="B4" s="29" t="s">
        <v>33</v>
      </c>
      <c r="C4" s="30" t="s">
        <v>34</v>
      </c>
      <c r="D4" s="30" t="s">
        <v>35</v>
      </c>
      <c r="E4" s="30" t="s">
        <v>36</v>
      </c>
      <c r="F4" s="30" t="s">
        <v>37</v>
      </c>
      <c r="G4" s="30" t="s">
        <v>38</v>
      </c>
      <c r="H4" s="31" t="s">
        <v>39</v>
      </c>
    </row>
    <row r="5" spans="1:8" x14ac:dyDescent="0.3">
      <c r="A5" s="20" t="s">
        <v>0</v>
      </c>
      <c r="B5" s="26" t="s">
        <v>40</v>
      </c>
      <c r="C5" s="27">
        <v>91266.06</v>
      </c>
      <c r="D5" s="27">
        <v>43280.02</v>
      </c>
      <c r="E5" s="27">
        <v>2.1086999999999998</v>
      </c>
      <c r="F5" s="27">
        <v>3.5799999999999998E-2</v>
      </c>
      <c r="G5" s="27" t="s">
        <v>22</v>
      </c>
      <c r="H5" s="28" t="s">
        <v>41</v>
      </c>
    </row>
    <row r="6" spans="1:8" x14ac:dyDescent="0.3">
      <c r="A6" s="20" t="s">
        <v>0</v>
      </c>
      <c r="B6" s="14" t="s">
        <v>11</v>
      </c>
      <c r="C6" s="8">
        <v>28.942799999999998</v>
      </c>
      <c r="D6" s="8">
        <v>2.5053999999999998</v>
      </c>
      <c r="E6" s="8">
        <v>11.552</v>
      </c>
      <c r="F6" s="8" t="s">
        <v>20</v>
      </c>
      <c r="G6" s="8" t="s">
        <v>22</v>
      </c>
      <c r="H6" s="24" t="s">
        <v>42</v>
      </c>
    </row>
    <row r="7" spans="1:8" x14ac:dyDescent="0.3">
      <c r="A7" s="20" t="s">
        <v>0</v>
      </c>
      <c r="B7" s="14" t="s">
        <v>12</v>
      </c>
      <c r="C7" s="8">
        <v>1.1626000000000001</v>
      </c>
      <c r="D7" s="8">
        <v>0.12809999999999999</v>
      </c>
      <c r="E7" s="8">
        <v>9.0739000000000001</v>
      </c>
      <c r="F7" s="8" t="s">
        <v>20</v>
      </c>
      <c r="G7" s="8" t="s">
        <v>22</v>
      </c>
      <c r="H7" s="24" t="s">
        <v>43</v>
      </c>
    </row>
    <row r="8" spans="1:8" x14ac:dyDescent="0.3">
      <c r="A8" s="20" t="s">
        <v>0</v>
      </c>
      <c r="B8" s="14" t="s">
        <v>44</v>
      </c>
      <c r="C8" s="8">
        <v>2636.17</v>
      </c>
      <c r="D8" s="8">
        <v>1270.51</v>
      </c>
      <c r="E8" s="8">
        <v>2.0749</v>
      </c>
      <c r="F8" s="8">
        <v>3.8800000000000001E-2</v>
      </c>
      <c r="G8" s="8" t="s">
        <v>22</v>
      </c>
      <c r="H8" s="24" t="s">
        <v>45</v>
      </c>
    </row>
    <row r="9" spans="1:8" x14ac:dyDescent="0.3">
      <c r="A9" s="20" t="s">
        <v>0</v>
      </c>
      <c r="B9" s="14" t="s">
        <v>46</v>
      </c>
      <c r="C9" s="8">
        <v>3100.12</v>
      </c>
      <c r="D9" s="8">
        <v>464.08</v>
      </c>
      <c r="E9" s="8">
        <v>6.6802000000000001</v>
      </c>
      <c r="F9" s="8" t="s">
        <v>20</v>
      </c>
      <c r="G9" s="8" t="s">
        <v>22</v>
      </c>
      <c r="H9" s="24" t="s">
        <v>47</v>
      </c>
    </row>
    <row r="10" spans="1:8" x14ac:dyDescent="0.3">
      <c r="A10" s="20" t="s">
        <v>0</v>
      </c>
      <c r="B10" s="14" t="s">
        <v>48</v>
      </c>
      <c r="C10" s="8">
        <v>39962.03</v>
      </c>
      <c r="D10" s="8">
        <v>9467.18</v>
      </c>
      <c r="E10" s="8">
        <v>4.2210999999999999</v>
      </c>
      <c r="F10" s="8" t="s">
        <v>20</v>
      </c>
      <c r="G10" s="8" t="s">
        <v>22</v>
      </c>
      <c r="H10" s="24" t="s">
        <v>49</v>
      </c>
    </row>
    <row r="11" spans="1:8" x14ac:dyDescent="0.3">
      <c r="A11" s="20" t="s">
        <v>0</v>
      </c>
      <c r="B11" s="14" t="s">
        <v>50</v>
      </c>
      <c r="C11" s="8">
        <v>17557.64</v>
      </c>
      <c r="D11" s="8">
        <v>6082.63</v>
      </c>
      <c r="E11" s="8">
        <v>2.8864999999999998</v>
      </c>
      <c r="F11" s="8">
        <v>4.1999999999999997E-3</v>
      </c>
      <c r="G11" s="8" t="s">
        <v>22</v>
      </c>
      <c r="H11" s="24" t="s">
        <v>51</v>
      </c>
    </row>
    <row r="12" spans="1:8" ht="15" thickBot="1" x14ac:dyDescent="0.35">
      <c r="A12" s="20" t="s">
        <v>0</v>
      </c>
      <c r="B12" s="16" t="s">
        <v>52</v>
      </c>
      <c r="C12" s="17">
        <v>28984.87</v>
      </c>
      <c r="D12" s="17">
        <v>6746.88</v>
      </c>
      <c r="E12" s="17">
        <v>4.2960000000000003</v>
      </c>
      <c r="F12" s="17" t="s">
        <v>20</v>
      </c>
      <c r="G12" s="17" t="s">
        <v>22</v>
      </c>
      <c r="H12" s="25" t="s">
        <v>53</v>
      </c>
    </row>
    <row r="13" spans="1:8" ht="15" thickBot="1" x14ac:dyDescent="0.35">
      <c r="A13" t="s">
        <v>0</v>
      </c>
      <c r="B13" s="10" t="s">
        <v>0</v>
      </c>
      <c r="C13" s="10" t="s">
        <v>0</v>
      </c>
      <c r="D13" s="10" t="s">
        <v>0</v>
      </c>
      <c r="E13" s="10" t="s">
        <v>0</v>
      </c>
      <c r="F13" s="10" t="s">
        <v>0</v>
      </c>
      <c r="G13" s="10" t="s">
        <v>0</v>
      </c>
      <c r="H13" s="10" t="s">
        <v>0</v>
      </c>
    </row>
    <row r="14" spans="1:8" ht="16.7" thickBot="1" x14ac:dyDescent="0.35">
      <c r="A14" s="4" t="s">
        <v>0</v>
      </c>
      <c r="B14" s="74" t="s">
        <v>54</v>
      </c>
      <c r="C14" s="75"/>
      <c r="D14" s="75"/>
      <c r="E14" s="75"/>
      <c r="F14" s="76"/>
      <c r="G14" s="10" t="s">
        <v>0</v>
      </c>
      <c r="H14" s="10" t="s">
        <v>0</v>
      </c>
    </row>
    <row r="15" spans="1:8" ht="28.8" x14ac:dyDescent="0.3">
      <c r="A15" t="s">
        <v>0</v>
      </c>
      <c r="B15" s="12" t="s">
        <v>33</v>
      </c>
      <c r="C15" s="6" t="s">
        <v>55</v>
      </c>
      <c r="D15" s="6" t="s">
        <v>56</v>
      </c>
      <c r="E15" s="6" t="s">
        <v>57</v>
      </c>
      <c r="F15" s="13" t="s">
        <v>58</v>
      </c>
      <c r="G15" s="10" t="s">
        <v>0</v>
      </c>
      <c r="H15" s="10" t="s">
        <v>0</v>
      </c>
    </row>
    <row r="16" spans="1:8" x14ac:dyDescent="0.3">
      <c r="A16" t="s">
        <v>0</v>
      </c>
      <c r="B16" s="14" t="s">
        <v>40</v>
      </c>
      <c r="C16" s="8" t="s">
        <v>59</v>
      </c>
      <c r="D16" s="8">
        <f t="shared" ref="D16:D23" si="0">C5 / D5</f>
        <v>2.1087342381080232</v>
      </c>
      <c r="E16" s="9">
        <f t="shared" ref="E16:E23" si="1">C5/D5</f>
        <v>2.1087342381080232</v>
      </c>
      <c r="F16" s="15" t="str">
        <f t="shared" ref="F16:F23" si="2">IF(ABS(E16-E5)&lt;0.01,"Yes ✓","No ✗")</f>
        <v>Yes ✓</v>
      </c>
      <c r="G16" s="10" t="s">
        <v>0</v>
      </c>
      <c r="H16" s="10" t="s">
        <v>0</v>
      </c>
    </row>
    <row r="17" spans="1:8" x14ac:dyDescent="0.3">
      <c r="A17" t="s">
        <v>0</v>
      </c>
      <c r="B17" s="14" t="s">
        <v>11</v>
      </c>
      <c r="C17" s="8" t="s">
        <v>59</v>
      </c>
      <c r="D17" s="8">
        <f t="shared" si="0"/>
        <v>11.552167318591842</v>
      </c>
      <c r="E17" s="9">
        <f t="shared" si="1"/>
        <v>11.552167318591842</v>
      </c>
      <c r="F17" s="15" t="str">
        <f t="shared" si="2"/>
        <v>Yes ✓</v>
      </c>
      <c r="G17" s="10" t="s">
        <v>0</v>
      </c>
      <c r="H17" s="10" t="s">
        <v>0</v>
      </c>
    </row>
    <row r="18" spans="1:8" x14ac:dyDescent="0.3">
      <c r="A18" t="s">
        <v>0</v>
      </c>
      <c r="B18" s="14" t="s">
        <v>12</v>
      </c>
      <c r="C18" s="8" t="s">
        <v>59</v>
      </c>
      <c r="D18" s="8">
        <f t="shared" si="0"/>
        <v>9.0757220921155355</v>
      </c>
      <c r="E18" s="9">
        <f t="shared" si="1"/>
        <v>9.0757220921155355</v>
      </c>
      <c r="F18" s="15" t="str">
        <f t="shared" si="2"/>
        <v>Yes ✓</v>
      </c>
      <c r="G18" s="10" t="s">
        <v>0</v>
      </c>
      <c r="H18" s="10" t="s">
        <v>0</v>
      </c>
    </row>
    <row r="19" spans="1:8" x14ac:dyDescent="0.3">
      <c r="A19" t="s">
        <v>0</v>
      </c>
      <c r="B19" s="14" t="s">
        <v>44</v>
      </c>
      <c r="C19" s="8" t="s">
        <v>59</v>
      </c>
      <c r="D19" s="8">
        <f t="shared" si="0"/>
        <v>2.0748911854294732</v>
      </c>
      <c r="E19" s="9">
        <f t="shared" si="1"/>
        <v>2.0748911854294732</v>
      </c>
      <c r="F19" s="15" t="str">
        <f t="shared" si="2"/>
        <v>Yes ✓</v>
      </c>
      <c r="G19" s="10" t="s">
        <v>0</v>
      </c>
      <c r="H19" s="10" t="s">
        <v>0</v>
      </c>
    </row>
    <row r="20" spans="1:8" x14ac:dyDescent="0.3">
      <c r="A20" t="s">
        <v>0</v>
      </c>
      <c r="B20" s="14" t="s">
        <v>46</v>
      </c>
      <c r="C20" s="8" t="s">
        <v>59</v>
      </c>
      <c r="D20" s="8">
        <f t="shared" si="0"/>
        <v>6.6801413549388036</v>
      </c>
      <c r="E20" s="9">
        <f t="shared" si="1"/>
        <v>6.6801413549388036</v>
      </c>
      <c r="F20" s="15" t="str">
        <f t="shared" si="2"/>
        <v>Yes ✓</v>
      </c>
      <c r="G20" s="10" t="s">
        <v>0</v>
      </c>
      <c r="H20" s="10" t="s">
        <v>0</v>
      </c>
    </row>
    <row r="21" spans="1:8" x14ac:dyDescent="0.3">
      <c r="A21" t="s">
        <v>0</v>
      </c>
      <c r="B21" s="14" t="s">
        <v>48</v>
      </c>
      <c r="C21" s="8" t="s">
        <v>59</v>
      </c>
      <c r="D21" s="8">
        <f t="shared" si="0"/>
        <v>4.2211123058820048</v>
      </c>
      <c r="E21" s="9">
        <f t="shared" si="1"/>
        <v>4.2211123058820048</v>
      </c>
      <c r="F21" s="15" t="str">
        <f t="shared" si="2"/>
        <v>Yes ✓</v>
      </c>
      <c r="G21" s="10" t="s">
        <v>0</v>
      </c>
      <c r="H21" s="10" t="s">
        <v>0</v>
      </c>
    </row>
    <row r="22" spans="1:8" x14ac:dyDescent="0.3">
      <c r="A22" t="s">
        <v>0</v>
      </c>
      <c r="B22" s="14" t="s">
        <v>50</v>
      </c>
      <c r="C22" s="8" t="s">
        <v>59</v>
      </c>
      <c r="D22" s="8">
        <f t="shared" si="0"/>
        <v>2.8865211265521658</v>
      </c>
      <c r="E22" s="9">
        <f t="shared" si="1"/>
        <v>2.8865211265521658</v>
      </c>
      <c r="F22" s="15" t="str">
        <f t="shared" si="2"/>
        <v>Yes ✓</v>
      </c>
      <c r="G22" s="10" t="s">
        <v>0</v>
      </c>
      <c r="H22" s="10" t="s">
        <v>0</v>
      </c>
    </row>
    <row r="23" spans="1:8" ht="15" thickBot="1" x14ac:dyDescent="0.35">
      <c r="A23" t="s">
        <v>0</v>
      </c>
      <c r="B23" s="16" t="s">
        <v>52</v>
      </c>
      <c r="C23" s="17" t="s">
        <v>59</v>
      </c>
      <c r="D23" s="17">
        <f t="shared" si="0"/>
        <v>4.2960405402200719</v>
      </c>
      <c r="E23" s="18">
        <f t="shared" si="1"/>
        <v>4.2960405402200719</v>
      </c>
      <c r="F23" s="19" t="str">
        <f t="shared" si="2"/>
        <v>Yes ✓</v>
      </c>
      <c r="G23" s="10" t="s">
        <v>0</v>
      </c>
      <c r="H23" s="10" t="s">
        <v>0</v>
      </c>
    </row>
    <row r="24" spans="1:8" ht="15" thickBot="1" x14ac:dyDescent="0.35">
      <c r="A24" t="s">
        <v>0</v>
      </c>
      <c r="B24" s="10" t="s">
        <v>0</v>
      </c>
      <c r="C24" s="10" t="s">
        <v>0</v>
      </c>
      <c r="D24" s="10" t="s">
        <v>0</v>
      </c>
      <c r="E24" s="10" t="s">
        <v>0</v>
      </c>
      <c r="F24" s="10" t="s">
        <v>0</v>
      </c>
      <c r="G24" s="10" t="s">
        <v>0</v>
      </c>
      <c r="H24" s="10" t="s">
        <v>0</v>
      </c>
    </row>
    <row r="25" spans="1:8" ht="16.7" thickBot="1" x14ac:dyDescent="0.35">
      <c r="A25" t="s">
        <v>0</v>
      </c>
      <c r="B25" s="74" t="s">
        <v>60</v>
      </c>
      <c r="C25" s="75"/>
      <c r="D25" s="75"/>
      <c r="E25" s="76"/>
      <c r="F25" s="10" t="s">
        <v>0</v>
      </c>
      <c r="G25" s="10" t="s">
        <v>0</v>
      </c>
      <c r="H25" s="10" t="s">
        <v>0</v>
      </c>
    </row>
    <row r="26" spans="1:8" ht="21.9" customHeight="1" x14ac:dyDescent="0.3">
      <c r="A26" t="s">
        <v>0</v>
      </c>
      <c r="B26" s="12" t="s">
        <v>33</v>
      </c>
      <c r="C26" s="6" t="s">
        <v>61</v>
      </c>
      <c r="D26" s="6" t="s">
        <v>62</v>
      </c>
      <c r="E26" s="13" t="s">
        <v>63</v>
      </c>
      <c r="F26" s="10" t="s">
        <v>0</v>
      </c>
      <c r="G26" s="10" t="s">
        <v>0</v>
      </c>
      <c r="H26" s="10" t="s">
        <v>0</v>
      </c>
    </row>
    <row r="27" spans="1:8" x14ac:dyDescent="0.3">
      <c r="A27" t="s">
        <v>0</v>
      </c>
      <c r="B27" s="14" t="s">
        <v>40</v>
      </c>
      <c r="C27" s="8" t="s">
        <v>64</v>
      </c>
      <c r="D27" s="9">
        <f t="shared" ref="D27:D34" si="3">_xlfn.T.DIST.2T(ABS(E5),310)</f>
        <v>3.5772441037592743E-2</v>
      </c>
      <c r="E27" s="15" t="str">
        <f t="shared" ref="E27:E34" si="4">IF(D27&lt;0.05,"Yes","No")</f>
        <v>Yes</v>
      </c>
      <c r="F27" s="10" t="s">
        <v>0</v>
      </c>
      <c r="G27" s="10" t="s">
        <v>0</v>
      </c>
      <c r="H27" s="10" t="s">
        <v>0</v>
      </c>
    </row>
    <row r="28" spans="1:8" x14ac:dyDescent="0.3">
      <c r="A28" t="s">
        <v>0</v>
      </c>
      <c r="B28" s="14" t="s">
        <v>11</v>
      </c>
      <c r="C28" s="8" t="s">
        <v>65</v>
      </c>
      <c r="D28" s="9">
        <f t="shared" si="3"/>
        <v>6.5138046208820708E-26</v>
      </c>
      <c r="E28" s="15" t="str">
        <f t="shared" si="4"/>
        <v>Yes</v>
      </c>
      <c r="F28" s="10" t="s">
        <v>0</v>
      </c>
      <c r="G28" s="10" t="s">
        <v>0</v>
      </c>
      <c r="H28" s="10" t="s">
        <v>0</v>
      </c>
    </row>
    <row r="29" spans="1:8" x14ac:dyDescent="0.3">
      <c r="A29" t="s">
        <v>0</v>
      </c>
      <c r="B29" s="14" t="s">
        <v>12</v>
      </c>
      <c r="C29" s="8" t="s">
        <v>66</v>
      </c>
      <c r="D29" s="9">
        <f t="shared" si="3"/>
        <v>1.3613107750698459E-17</v>
      </c>
      <c r="E29" s="15" t="str">
        <f t="shared" si="4"/>
        <v>Yes</v>
      </c>
      <c r="F29" s="10" t="s">
        <v>0</v>
      </c>
      <c r="G29" s="10" t="s">
        <v>0</v>
      </c>
      <c r="H29" s="10" t="s">
        <v>0</v>
      </c>
    </row>
    <row r="30" spans="1:8" x14ac:dyDescent="0.3">
      <c r="A30" t="s">
        <v>0</v>
      </c>
      <c r="B30" s="14" t="s">
        <v>44</v>
      </c>
      <c r="C30" s="8" t="s">
        <v>67</v>
      </c>
      <c r="D30" s="9">
        <f t="shared" si="3"/>
        <v>3.8820472455234956E-2</v>
      </c>
      <c r="E30" s="15" t="str">
        <f t="shared" si="4"/>
        <v>Yes</v>
      </c>
      <c r="F30" s="10" t="s">
        <v>0</v>
      </c>
      <c r="G30" s="10" t="s">
        <v>0</v>
      </c>
      <c r="H30" s="10" t="s">
        <v>0</v>
      </c>
    </row>
    <row r="31" spans="1:8" x14ac:dyDescent="0.3">
      <c r="A31" t="s">
        <v>0</v>
      </c>
      <c r="B31" s="14" t="s">
        <v>46</v>
      </c>
      <c r="C31" s="8" t="s">
        <v>68</v>
      </c>
      <c r="D31" s="9">
        <f t="shared" si="3"/>
        <v>1.1056513352733249E-10</v>
      </c>
      <c r="E31" s="15" t="str">
        <f t="shared" si="4"/>
        <v>Yes</v>
      </c>
      <c r="F31" s="10" t="s">
        <v>0</v>
      </c>
      <c r="G31" s="10" t="s">
        <v>0</v>
      </c>
      <c r="H31" s="10" t="s">
        <v>0</v>
      </c>
    </row>
    <row r="32" spans="1:8" x14ac:dyDescent="0.3">
      <c r="A32" t="s">
        <v>0</v>
      </c>
      <c r="B32" s="14" t="s">
        <v>48</v>
      </c>
      <c r="C32" s="8" t="s">
        <v>69</v>
      </c>
      <c r="D32" s="9">
        <f t="shared" si="3"/>
        <v>3.1974857958561633E-5</v>
      </c>
      <c r="E32" s="15" t="str">
        <f t="shared" si="4"/>
        <v>Yes</v>
      </c>
      <c r="F32" s="10" t="s">
        <v>0</v>
      </c>
      <c r="G32" s="10" t="s">
        <v>0</v>
      </c>
      <c r="H32" s="10" t="s">
        <v>0</v>
      </c>
    </row>
    <row r="33" spans="1:8" x14ac:dyDescent="0.3">
      <c r="A33" t="s">
        <v>0</v>
      </c>
      <c r="B33" s="14" t="s">
        <v>50</v>
      </c>
      <c r="C33" s="8" t="s">
        <v>70</v>
      </c>
      <c r="D33" s="9">
        <f t="shared" si="3"/>
        <v>4.1690935848736057E-3</v>
      </c>
      <c r="E33" s="15" t="str">
        <f t="shared" si="4"/>
        <v>Yes</v>
      </c>
      <c r="F33" s="10" t="s">
        <v>0</v>
      </c>
      <c r="G33" s="10" t="s">
        <v>0</v>
      </c>
      <c r="H33" s="10" t="s">
        <v>0</v>
      </c>
    </row>
    <row r="34" spans="1:8" ht="15" thickBot="1" x14ac:dyDescent="0.35">
      <c r="A34" t="s">
        <v>0</v>
      </c>
      <c r="B34" s="16" t="s">
        <v>52</v>
      </c>
      <c r="C34" s="17" t="s">
        <v>71</v>
      </c>
      <c r="D34" s="18">
        <f t="shared" si="3"/>
        <v>2.3302081430771907E-5</v>
      </c>
      <c r="E34" s="19" t="str">
        <f t="shared" si="4"/>
        <v>Yes</v>
      </c>
      <c r="F34" s="10" t="s">
        <v>0</v>
      </c>
      <c r="G34" s="10" t="s">
        <v>0</v>
      </c>
      <c r="H34" s="10" t="s">
        <v>0</v>
      </c>
    </row>
    <row r="35" spans="1:8" ht="15" thickBot="1" x14ac:dyDescent="0.35">
      <c r="A35" t="s">
        <v>0</v>
      </c>
      <c r="B35" s="10" t="s">
        <v>0</v>
      </c>
      <c r="C35" s="10" t="s">
        <v>0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</row>
    <row r="36" spans="1:8" ht="16.149999999999999" x14ac:dyDescent="0.3">
      <c r="B36" s="77" t="s">
        <v>72</v>
      </c>
      <c r="C36" s="78"/>
      <c r="D36" s="78"/>
      <c r="E36" s="78"/>
      <c r="F36" s="79"/>
      <c r="G36" s="10" t="s">
        <v>0</v>
      </c>
      <c r="H36" s="10" t="s">
        <v>0</v>
      </c>
    </row>
    <row r="37" spans="1:8" x14ac:dyDescent="0.3">
      <c r="A37" s="5" t="s">
        <v>0</v>
      </c>
      <c r="B37" s="70" t="s">
        <v>73</v>
      </c>
      <c r="C37" s="70"/>
      <c r="D37" s="70"/>
      <c r="E37" s="70"/>
      <c r="F37" s="70"/>
      <c r="G37" s="11" t="s">
        <v>0</v>
      </c>
      <c r="H37" s="11" t="s">
        <v>0</v>
      </c>
    </row>
    <row r="38" spans="1:8" x14ac:dyDescent="0.3">
      <c r="A38" s="5" t="s">
        <v>0</v>
      </c>
      <c r="B38" s="70" t="s">
        <v>74</v>
      </c>
      <c r="C38" s="70"/>
      <c r="D38" s="70"/>
      <c r="E38" s="70"/>
      <c r="F38" s="70"/>
      <c r="G38" s="11" t="s">
        <v>0</v>
      </c>
      <c r="H38" s="11" t="s">
        <v>0</v>
      </c>
    </row>
    <row r="39" spans="1:8" ht="15" thickBot="1" x14ac:dyDescent="0.35">
      <c r="B39" s="33" t="s">
        <v>0</v>
      </c>
      <c r="C39" s="34" t="s">
        <v>0</v>
      </c>
      <c r="D39" s="34" t="s">
        <v>0</v>
      </c>
      <c r="E39" s="34" t="s">
        <v>0</v>
      </c>
      <c r="F39" s="37" t="s">
        <v>0</v>
      </c>
      <c r="G39" s="10" t="s">
        <v>0</v>
      </c>
      <c r="H39" s="10" t="s">
        <v>0</v>
      </c>
    </row>
    <row r="40" spans="1:8" x14ac:dyDescent="0.3">
      <c r="B40" s="21" t="s">
        <v>75</v>
      </c>
      <c r="C40" s="22" t="s">
        <v>76</v>
      </c>
      <c r="D40" s="22" t="s">
        <v>77</v>
      </c>
      <c r="E40" s="22" t="s">
        <v>34</v>
      </c>
      <c r="F40" s="23" t="s">
        <v>78</v>
      </c>
      <c r="G40" s="10" t="s">
        <v>0</v>
      </c>
      <c r="H40" s="10" t="s">
        <v>0</v>
      </c>
    </row>
    <row r="41" spans="1:8" x14ac:dyDescent="0.3">
      <c r="B41" s="14" t="s">
        <v>79</v>
      </c>
      <c r="C41" s="8" t="s">
        <v>40</v>
      </c>
      <c r="D41" s="8">
        <v>1</v>
      </c>
      <c r="E41" s="8">
        <v>91266.06</v>
      </c>
      <c r="F41" s="32">
        <f t="shared" ref="F41:F48" si="5">D41*E41</f>
        <v>91266.06</v>
      </c>
      <c r="G41" s="10" t="s">
        <v>0</v>
      </c>
      <c r="H41" s="10" t="s">
        <v>0</v>
      </c>
    </row>
    <row r="42" spans="1:8" x14ac:dyDescent="0.3">
      <c r="A42" t="s">
        <v>0</v>
      </c>
      <c r="B42" s="14" t="s">
        <v>80</v>
      </c>
      <c r="C42" s="8" t="s">
        <v>11</v>
      </c>
      <c r="D42" s="8">
        <v>5000</v>
      </c>
      <c r="E42" s="8">
        <v>28.942799999999998</v>
      </c>
      <c r="F42" s="32">
        <f t="shared" si="5"/>
        <v>144714</v>
      </c>
      <c r="G42" s="10" t="s">
        <v>0</v>
      </c>
      <c r="H42" s="10" t="s">
        <v>0</v>
      </c>
    </row>
    <row r="43" spans="1:8" x14ac:dyDescent="0.3">
      <c r="A43" t="s">
        <v>0</v>
      </c>
      <c r="B43" s="14" t="s">
        <v>81</v>
      </c>
      <c r="C43" s="8" t="s">
        <v>12</v>
      </c>
      <c r="D43" s="8">
        <v>80000</v>
      </c>
      <c r="E43" s="8">
        <v>1.1626000000000001</v>
      </c>
      <c r="F43" s="32">
        <f t="shared" si="5"/>
        <v>93008</v>
      </c>
      <c r="G43" s="10" t="s">
        <v>0</v>
      </c>
      <c r="H43" s="10" t="s">
        <v>0</v>
      </c>
    </row>
    <row r="44" spans="1:8" x14ac:dyDescent="0.3">
      <c r="A44" t="s">
        <v>0</v>
      </c>
      <c r="B44" s="14" t="s">
        <v>82</v>
      </c>
      <c r="C44" s="8" t="s">
        <v>44</v>
      </c>
      <c r="D44" s="8">
        <v>20</v>
      </c>
      <c r="E44" s="8">
        <v>2636.17</v>
      </c>
      <c r="F44" s="32">
        <f t="shared" si="5"/>
        <v>52723.4</v>
      </c>
      <c r="G44" s="10" t="s">
        <v>0</v>
      </c>
      <c r="H44" s="10" t="s">
        <v>0</v>
      </c>
    </row>
    <row r="45" spans="1:8" x14ac:dyDescent="0.3">
      <c r="A45" t="s">
        <v>0</v>
      </c>
      <c r="B45" s="14" t="s">
        <v>83</v>
      </c>
      <c r="C45" s="8" t="s">
        <v>46</v>
      </c>
      <c r="D45" s="8">
        <v>75</v>
      </c>
      <c r="E45" s="8">
        <v>3100.12</v>
      </c>
      <c r="F45" s="32">
        <f t="shared" si="5"/>
        <v>232509</v>
      </c>
      <c r="G45" s="10" t="s">
        <v>0</v>
      </c>
      <c r="H45" s="10" t="s">
        <v>0</v>
      </c>
    </row>
    <row r="46" spans="1:8" x14ac:dyDescent="0.3">
      <c r="A46" t="s">
        <v>0</v>
      </c>
      <c r="B46" s="14" t="s">
        <v>84</v>
      </c>
      <c r="C46" s="8" t="s">
        <v>48</v>
      </c>
      <c r="D46" s="8">
        <v>0</v>
      </c>
      <c r="E46" s="8">
        <v>39962.03</v>
      </c>
      <c r="F46" s="32">
        <f t="shared" si="5"/>
        <v>0</v>
      </c>
      <c r="G46" s="10" t="s">
        <v>0</v>
      </c>
      <c r="H46" s="10" t="s">
        <v>0</v>
      </c>
    </row>
    <row r="47" spans="1:8" x14ac:dyDescent="0.3">
      <c r="A47" t="s">
        <v>0</v>
      </c>
      <c r="B47" s="14" t="s">
        <v>85</v>
      </c>
      <c r="C47" s="8" t="s">
        <v>50</v>
      </c>
      <c r="D47" s="8">
        <v>0</v>
      </c>
      <c r="E47" s="8">
        <v>17557.64</v>
      </c>
      <c r="F47" s="32">
        <f t="shared" si="5"/>
        <v>0</v>
      </c>
      <c r="G47" s="10" t="s">
        <v>0</v>
      </c>
      <c r="H47" s="10" t="s">
        <v>0</v>
      </c>
    </row>
    <row r="48" spans="1:8" x14ac:dyDescent="0.3">
      <c r="A48" t="s">
        <v>0</v>
      </c>
      <c r="B48" s="14" t="s">
        <v>86</v>
      </c>
      <c r="C48" s="8" t="s">
        <v>52</v>
      </c>
      <c r="D48" s="8">
        <v>1</v>
      </c>
      <c r="E48" s="8">
        <v>28984.87</v>
      </c>
      <c r="F48" s="32">
        <f t="shared" si="5"/>
        <v>28984.87</v>
      </c>
      <c r="G48" s="10" t="s">
        <v>0</v>
      </c>
      <c r="H48" s="10" t="s">
        <v>0</v>
      </c>
    </row>
    <row r="49" spans="1:8" ht="15" thickBot="1" x14ac:dyDescent="0.35">
      <c r="A49" t="s">
        <v>0</v>
      </c>
      <c r="B49" s="33" t="s">
        <v>0</v>
      </c>
      <c r="C49" s="34" t="s">
        <v>0</v>
      </c>
      <c r="D49" s="34" t="s">
        <v>0</v>
      </c>
      <c r="E49" s="35" t="s">
        <v>87</v>
      </c>
      <c r="F49" s="36">
        <f>SUM(F41:F48)</f>
        <v>643205.32999999996</v>
      </c>
      <c r="G49" s="10" t="s">
        <v>0</v>
      </c>
      <c r="H49" s="10" t="s">
        <v>0</v>
      </c>
    </row>
  </sheetData>
  <mergeCells count="7">
    <mergeCell ref="B37:F37"/>
    <mergeCell ref="B38:F38"/>
    <mergeCell ref="B1:H1"/>
    <mergeCell ref="B2:H2"/>
    <mergeCell ref="B14:F14"/>
    <mergeCell ref="B25:E25"/>
    <mergeCell ref="B36:F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workbookViewId="0">
      <selection activeCell="D65" sqref="D65"/>
    </sheetView>
  </sheetViews>
  <sheetFormatPr defaultRowHeight="14.4" x14ac:dyDescent="0.3"/>
  <cols>
    <col min="1" max="1" width="3.69921875" customWidth="1"/>
    <col min="2" max="2" width="24.69921875" customWidth="1"/>
    <col min="3" max="3" width="58.69921875" customWidth="1"/>
    <col min="4" max="4" width="38.69921875" customWidth="1"/>
    <col min="5" max="5" width="18.69921875" customWidth="1"/>
  </cols>
  <sheetData>
    <row r="1" spans="1:5" ht="21.35" x14ac:dyDescent="0.45">
      <c r="A1" t="s">
        <v>0</v>
      </c>
      <c r="B1" s="85" t="s">
        <v>88</v>
      </c>
      <c r="C1" s="85"/>
      <c r="D1" t="s">
        <v>0</v>
      </c>
      <c r="E1" t="s">
        <v>0</v>
      </c>
    </row>
    <row r="2" spans="1:5" x14ac:dyDescent="0.3">
      <c r="A2" t="s">
        <v>0</v>
      </c>
      <c r="B2" s="86" t="s">
        <v>89</v>
      </c>
      <c r="C2" s="86"/>
      <c r="D2" t="s">
        <v>0</v>
      </c>
      <c r="E2" t="s">
        <v>0</v>
      </c>
    </row>
    <row r="3" spans="1:5" ht="15" thickBot="1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</row>
    <row r="4" spans="1:5" ht="17.3" x14ac:dyDescent="0.3">
      <c r="A4" t="s">
        <v>0</v>
      </c>
      <c r="B4" s="87" t="s">
        <v>90</v>
      </c>
      <c r="C4" s="88"/>
      <c r="D4" t="s">
        <v>0</v>
      </c>
      <c r="E4" t="s">
        <v>0</v>
      </c>
    </row>
    <row r="5" spans="1:5" x14ac:dyDescent="0.3">
      <c r="A5" t="s">
        <v>0</v>
      </c>
      <c r="B5" s="47" t="s">
        <v>91</v>
      </c>
      <c r="C5" s="48" t="s">
        <v>92</v>
      </c>
      <c r="D5" t="s">
        <v>0</v>
      </c>
      <c r="E5" t="s">
        <v>0</v>
      </c>
    </row>
    <row r="6" spans="1:5" x14ac:dyDescent="0.3">
      <c r="A6" t="s">
        <v>0</v>
      </c>
      <c r="B6" s="47" t="s">
        <v>93</v>
      </c>
      <c r="C6" s="49" t="s">
        <v>94</v>
      </c>
      <c r="D6" t="s">
        <v>0</v>
      </c>
      <c r="E6" t="s">
        <v>0</v>
      </c>
    </row>
    <row r="7" spans="1:5" x14ac:dyDescent="0.3">
      <c r="A7" t="s">
        <v>0</v>
      </c>
      <c r="B7" s="47" t="s">
        <v>95</v>
      </c>
      <c r="C7" s="49" t="s">
        <v>96</v>
      </c>
      <c r="D7" t="s">
        <v>0</v>
      </c>
      <c r="E7" t="s">
        <v>0</v>
      </c>
    </row>
    <row r="8" spans="1:5" x14ac:dyDescent="0.3">
      <c r="A8" t="s">
        <v>0</v>
      </c>
      <c r="B8" s="47" t="s">
        <v>97</v>
      </c>
      <c r="C8" s="50" t="s">
        <v>98</v>
      </c>
      <c r="D8" t="s">
        <v>0</v>
      </c>
      <c r="E8" t="s">
        <v>0</v>
      </c>
    </row>
    <row r="9" spans="1:5" x14ac:dyDescent="0.3">
      <c r="A9" t="s">
        <v>0</v>
      </c>
      <c r="B9" s="47" t="s">
        <v>99</v>
      </c>
      <c r="C9" s="50" t="s">
        <v>100</v>
      </c>
      <c r="D9" t="s">
        <v>0</v>
      </c>
      <c r="E9" t="s">
        <v>0</v>
      </c>
    </row>
    <row r="10" spans="1:5" ht="15" thickBot="1" x14ac:dyDescent="0.35">
      <c r="A10" t="s">
        <v>0</v>
      </c>
      <c r="B10" s="51" t="s">
        <v>101</v>
      </c>
      <c r="C10" s="52" t="s">
        <v>102</v>
      </c>
      <c r="D10" t="s">
        <v>0</v>
      </c>
      <c r="E10" t="s">
        <v>0</v>
      </c>
    </row>
    <row r="11" spans="1:5" ht="15" thickBot="1" x14ac:dyDescent="0.35">
      <c r="A11" t="s">
        <v>0</v>
      </c>
      <c r="B11" t="s">
        <v>0</v>
      </c>
      <c r="C11" t="s">
        <v>0</v>
      </c>
      <c r="D11" t="s">
        <v>0</v>
      </c>
      <c r="E11" t="s">
        <v>0</v>
      </c>
    </row>
    <row r="12" spans="1:5" ht="17.3" x14ac:dyDescent="0.3">
      <c r="A12" t="s">
        <v>0</v>
      </c>
      <c r="B12" s="87" t="s">
        <v>103</v>
      </c>
      <c r="C12" s="88"/>
      <c r="D12" t="s">
        <v>0</v>
      </c>
      <c r="E12" t="s">
        <v>0</v>
      </c>
    </row>
    <row r="13" spans="1:5" x14ac:dyDescent="0.3">
      <c r="A13" t="s">
        <v>0</v>
      </c>
      <c r="B13" s="47" t="s">
        <v>91</v>
      </c>
      <c r="C13" s="48" t="s">
        <v>104</v>
      </c>
      <c r="D13" t="s">
        <v>0</v>
      </c>
      <c r="E13" t="s">
        <v>0</v>
      </c>
    </row>
    <row r="14" spans="1:5" x14ac:dyDescent="0.3">
      <c r="A14" t="s">
        <v>0</v>
      </c>
      <c r="B14" s="47" t="s">
        <v>105</v>
      </c>
      <c r="C14" s="49" t="s">
        <v>106</v>
      </c>
      <c r="D14" t="s">
        <v>0</v>
      </c>
      <c r="E14" t="s">
        <v>0</v>
      </c>
    </row>
    <row r="15" spans="1:5" x14ac:dyDescent="0.3">
      <c r="A15" t="s">
        <v>0</v>
      </c>
      <c r="B15" s="47" t="s">
        <v>107</v>
      </c>
      <c r="C15" s="48" t="s">
        <v>108</v>
      </c>
      <c r="D15" t="s">
        <v>0</v>
      </c>
      <c r="E15" t="s">
        <v>0</v>
      </c>
    </row>
    <row r="16" spans="1:5" x14ac:dyDescent="0.3">
      <c r="A16" t="s">
        <v>0</v>
      </c>
      <c r="B16" s="54" t="s">
        <v>0</v>
      </c>
      <c r="C16" s="48" t="s">
        <v>109</v>
      </c>
      <c r="D16" t="s">
        <v>0</v>
      </c>
      <c r="E16" t="s">
        <v>0</v>
      </c>
    </row>
    <row r="17" spans="1:5" x14ac:dyDescent="0.3">
      <c r="A17" t="s">
        <v>0</v>
      </c>
      <c r="B17" s="54" t="s">
        <v>0</v>
      </c>
      <c r="C17" s="48" t="s">
        <v>110</v>
      </c>
      <c r="D17" t="s">
        <v>0</v>
      </c>
      <c r="E17" t="s">
        <v>0</v>
      </c>
    </row>
    <row r="18" spans="1:5" x14ac:dyDescent="0.3">
      <c r="A18" t="s">
        <v>0</v>
      </c>
      <c r="B18" s="54" t="s">
        <v>0</v>
      </c>
      <c r="C18" s="48" t="s">
        <v>111</v>
      </c>
      <c r="D18" t="s">
        <v>0</v>
      </c>
      <c r="E18" t="s">
        <v>0</v>
      </c>
    </row>
    <row r="19" spans="1:5" x14ac:dyDescent="0.3">
      <c r="A19" t="s">
        <v>0</v>
      </c>
      <c r="B19" s="47" t="s">
        <v>97</v>
      </c>
      <c r="C19" s="50" t="s">
        <v>112</v>
      </c>
      <c r="D19" t="s">
        <v>0</v>
      </c>
      <c r="E19" t="s">
        <v>0</v>
      </c>
    </row>
    <row r="20" spans="1:5" ht="15" thickBot="1" x14ac:dyDescent="0.35">
      <c r="A20" t="s">
        <v>0</v>
      </c>
      <c r="B20" s="51" t="s">
        <v>101</v>
      </c>
      <c r="C20" s="52" t="s">
        <v>113</v>
      </c>
      <c r="D20" t="s">
        <v>0</v>
      </c>
      <c r="E20" t="s">
        <v>0</v>
      </c>
    </row>
    <row r="21" spans="1:5" ht="15" thickBot="1" x14ac:dyDescent="0.35">
      <c r="A21" t="s">
        <v>0</v>
      </c>
      <c r="B21" t="s">
        <v>0</v>
      </c>
      <c r="C21" t="s">
        <v>0</v>
      </c>
      <c r="D21" t="s">
        <v>0</v>
      </c>
      <c r="E21" t="s">
        <v>0</v>
      </c>
    </row>
    <row r="22" spans="1:5" ht="17.3" x14ac:dyDescent="0.3">
      <c r="A22" t="s">
        <v>0</v>
      </c>
      <c r="B22" s="87" t="s">
        <v>114</v>
      </c>
      <c r="C22" s="88"/>
      <c r="D22" t="s">
        <v>0</v>
      </c>
      <c r="E22" t="s">
        <v>0</v>
      </c>
    </row>
    <row r="23" spans="1:5" x14ac:dyDescent="0.3">
      <c r="A23" t="s">
        <v>0</v>
      </c>
      <c r="B23" s="47" t="s">
        <v>91</v>
      </c>
      <c r="C23" s="48" t="s">
        <v>115</v>
      </c>
      <c r="D23" t="s">
        <v>0</v>
      </c>
      <c r="E23" t="s">
        <v>0</v>
      </c>
    </row>
    <row r="24" spans="1:5" x14ac:dyDescent="0.3">
      <c r="A24" t="s">
        <v>0</v>
      </c>
      <c r="B24" s="47" t="s">
        <v>95</v>
      </c>
      <c r="C24" s="49" t="s">
        <v>116</v>
      </c>
      <c r="D24" t="s">
        <v>0</v>
      </c>
      <c r="E24" t="s">
        <v>0</v>
      </c>
    </row>
    <row r="25" spans="1:5" x14ac:dyDescent="0.3">
      <c r="A25" t="s">
        <v>0</v>
      </c>
      <c r="B25" s="47" t="s">
        <v>117</v>
      </c>
      <c r="C25" s="49" t="s">
        <v>118</v>
      </c>
      <c r="D25" t="s">
        <v>0</v>
      </c>
      <c r="E25" t="s">
        <v>0</v>
      </c>
    </row>
    <row r="26" spans="1:5" x14ac:dyDescent="0.3">
      <c r="A26" t="s">
        <v>0</v>
      </c>
      <c r="B26" s="47" t="s">
        <v>97</v>
      </c>
      <c r="C26" s="50" t="s">
        <v>119</v>
      </c>
      <c r="D26" t="s">
        <v>0</v>
      </c>
      <c r="E26" t="s">
        <v>0</v>
      </c>
    </row>
    <row r="27" spans="1:5" ht="15" thickBot="1" x14ac:dyDescent="0.35">
      <c r="A27" t="s">
        <v>0</v>
      </c>
      <c r="B27" s="51" t="s">
        <v>101</v>
      </c>
      <c r="C27" s="52" t="s">
        <v>120</v>
      </c>
      <c r="D27" t="s">
        <v>0</v>
      </c>
      <c r="E27" t="s">
        <v>0</v>
      </c>
    </row>
    <row r="28" spans="1:5" ht="15" thickBot="1" x14ac:dyDescent="0.35">
      <c r="A28" t="s">
        <v>0</v>
      </c>
      <c r="B28" t="s">
        <v>0</v>
      </c>
      <c r="C28" t="s">
        <v>0</v>
      </c>
      <c r="D28" t="s">
        <v>0</v>
      </c>
      <c r="E28" t="s">
        <v>0</v>
      </c>
    </row>
    <row r="29" spans="1:5" ht="17.3" x14ac:dyDescent="0.3">
      <c r="A29" t="s">
        <v>0</v>
      </c>
      <c r="B29" s="87" t="s">
        <v>121</v>
      </c>
      <c r="C29" s="88"/>
      <c r="D29" t="s">
        <v>0</v>
      </c>
      <c r="E29" t="s">
        <v>0</v>
      </c>
    </row>
    <row r="30" spans="1:5" x14ac:dyDescent="0.3">
      <c r="A30" t="s">
        <v>0</v>
      </c>
      <c r="B30" s="47" t="s">
        <v>91</v>
      </c>
      <c r="C30" s="48" t="s">
        <v>122</v>
      </c>
      <c r="D30" t="s">
        <v>0</v>
      </c>
      <c r="E30" t="s">
        <v>0</v>
      </c>
    </row>
    <row r="31" spans="1:5" x14ac:dyDescent="0.3">
      <c r="A31" t="s">
        <v>0</v>
      </c>
      <c r="B31" s="47" t="s">
        <v>123</v>
      </c>
      <c r="C31" s="48" t="s">
        <v>124</v>
      </c>
      <c r="D31" t="s">
        <v>0</v>
      </c>
      <c r="E31" t="s">
        <v>0</v>
      </c>
    </row>
    <row r="32" spans="1:5" x14ac:dyDescent="0.3">
      <c r="A32" t="s">
        <v>0</v>
      </c>
      <c r="B32" s="47" t="s">
        <v>107</v>
      </c>
      <c r="C32" s="48" t="s">
        <v>125</v>
      </c>
      <c r="D32" t="s">
        <v>0</v>
      </c>
      <c r="E32" t="s">
        <v>0</v>
      </c>
    </row>
    <row r="33" spans="1:5" x14ac:dyDescent="0.3">
      <c r="A33" t="s">
        <v>0</v>
      </c>
      <c r="B33" s="54" t="s">
        <v>0</v>
      </c>
      <c r="C33" s="48" t="s">
        <v>126</v>
      </c>
      <c r="D33" t="s">
        <v>0</v>
      </c>
      <c r="E33" t="s">
        <v>0</v>
      </c>
    </row>
    <row r="34" spans="1:5" x14ac:dyDescent="0.3">
      <c r="A34" t="s">
        <v>0</v>
      </c>
      <c r="B34" s="54" t="s">
        <v>0</v>
      </c>
      <c r="C34" s="48" t="s">
        <v>127</v>
      </c>
      <c r="D34" t="s">
        <v>0</v>
      </c>
      <c r="E34" t="s">
        <v>0</v>
      </c>
    </row>
    <row r="35" spans="1:5" x14ac:dyDescent="0.3">
      <c r="A35" t="s">
        <v>0</v>
      </c>
      <c r="B35" s="47" t="s">
        <v>128</v>
      </c>
      <c r="C35" s="50" t="s">
        <v>129</v>
      </c>
      <c r="D35" t="s">
        <v>0</v>
      </c>
      <c r="E35" t="s">
        <v>0</v>
      </c>
    </row>
    <row r="36" spans="1:5" ht="15" thickBot="1" x14ac:dyDescent="0.35">
      <c r="A36" t="s">
        <v>0</v>
      </c>
      <c r="B36" s="51" t="s">
        <v>101</v>
      </c>
      <c r="C36" s="52" t="s">
        <v>130</v>
      </c>
      <c r="D36" t="s">
        <v>0</v>
      </c>
      <c r="E36" t="s">
        <v>0</v>
      </c>
    </row>
    <row r="37" spans="1:5" ht="15" thickBot="1" x14ac:dyDescent="0.35">
      <c r="A37" t="s">
        <v>0</v>
      </c>
      <c r="B37" t="s">
        <v>0</v>
      </c>
      <c r="C37" t="s">
        <v>0</v>
      </c>
      <c r="D37" t="s">
        <v>0</v>
      </c>
      <c r="E37" t="s">
        <v>0</v>
      </c>
    </row>
    <row r="38" spans="1:5" ht="17.3" x14ac:dyDescent="0.3">
      <c r="A38" t="s">
        <v>0</v>
      </c>
      <c r="B38" s="87" t="s">
        <v>131</v>
      </c>
      <c r="C38" s="88"/>
      <c r="D38" t="s">
        <v>0</v>
      </c>
      <c r="E38" t="s">
        <v>0</v>
      </c>
    </row>
    <row r="39" spans="1:5" x14ac:dyDescent="0.3">
      <c r="A39" t="s">
        <v>0</v>
      </c>
      <c r="B39" s="47" t="s">
        <v>91</v>
      </c>
      <c r="C39" s="48" t="s">
        <v>132</v>
      </c>
      <c r="D39" t="s">
        <v>0</v>
      </c>
      <c r="E39" t="s">
        <v>0</v>
      </c>
    </row>
    <row r="40" spans="1:5" x14ac:dyDescent="0.3">
      <c r="A40" t="s">
        <v>0</v>
      </c>
      <c r="B40" s="47" t="s">
        <v>133</v>
      </c>
      <c r="C40" s="48" t="s">
        <v>134</v>
      </c>
      <c r="D40" t="s">
        <v>0</v>
      </c>
      <c r="E40" t="s">
        <v>0</v>
      </c>
    </row>
    <row r="41" spans="1:5" x14ac:dyDescent="0.3">
      <c r="A41" t="s">
        <v>0</v>
      </c>
      <c r="B41" s="47" t="s">
        <v>135</v>
      </c>
      <c r="C41" s="50" t="s">
        <v>136</v>
      </c>
      <c r="D41" t="s">
        <v>0</v>
      </c>
      <c r="E41" t="s">
        <v>0</v>
      </c>
    </row>
    <row r="42" spans="1:5" x14ac:dyDescent="0.3">
      <c r="A42" t="s">
        <v>0</v>
      </c>
      <c r="B42" s="47" t="s">
        <v>137</v>
      </c>
      <c r="C42" s="50" t="s">
        <v>138</v>
      </c>
      <c r="D42" t="s">
        <v>0</v>
      </c>
      <c r="E42" t="s">
        <v>0</v>
      </c>
    </row>
    <row r="43" spans="1:5" x14ac:dyDescent="0.3">
      <c r="A43" t="s">
        <v>0</v>
      </c>
      <c r="B43" s="47" t="s">
        <v>139</v>
      </c>
      <c r="C43" s="50" t="s">
        <v>140</v>
      </c>
      <c r="D43" t="s">
        <v>0</v>
      </c>
      <c r="E43" t="s">
        <v>0</v>
      </c>
    </row>
    <row r="44" spans="1:5" ht="15" thickBot="1" x14ac:dyDescent="0.35">
      <c r="A44" t="s">
        <v>0</v>
      </c>
      <c r="B44" s="51" t="s">
        <v>101</v>
      </c>
      <c r="C44" s="52" t="s">
        <v>141</v>
      </c>
      <c r="D44" t="s">
        <v>0</v>
      </c>
      <c r="E44" t="s">
        <v>0</v>
      </c>
    </row>
    <row r="45" spans="1:5" ht="15" thickBot="1" x14ac:dyDescent="0.35">
      <c r="A45" t="s">
        <v>0</v>
      </c>
      <c r="B45" t="s">
        <v>0</v>
      </c>
      <c r="C45" t="s">
        <v>0</v>
      </c>
      <c r="D45" t="s">
        <v>0</v>
      </c>
      <c r="E45" t="s">
        <v>0</v>
      </c>
    </row>
    <row r="46" spans="1:5" ht="17.3" x14ac:dyDescent="0.3">
      <c r="A46" t="s">
        <v>0</v>
      </c>
      <c r="B46" s="87" t="s">
        <v>142</v>
      </c>
      <c r="C46" s="88"/>
      <c r="D46" t="s">
        <v>0</v>
      </c>
      <c r="E46" t="s">
        <v>0</v>
      </c>
    </row>
    <row r="47" spans="1:5" x14ac:dyDescent="0.3">
      <c r="A47" t="s">
        <v>0</v>
      </c>
      <c r="B47" s="47" t="s">
        <v>143</v>
      </c>
      <c r="C47" s="48" t="s">
        <v>144</v>
      </c>
      <c r="D47" t="s">
        <v>0</v>
      </c>
      <c r="E47" t="s">
        <v>0</v>
      </c>
    </row>
    <row r="48" spans="1:5" x14ac:dyDescent="0.3">
      <c r="A48" t="s">
        <v>0</v>
      </c>
      <c r="B48" s="47" t="s">
        <v>145</v>
      </c>
      <c r="C48" s="55" t="s">
        <v>0</v>
      </c>
      <c r="D48" t="s">
        <v>0</v>
      </c>
      <c r="E48" t="s">
        <v>0</v>
      </c>
    </row>
    <row r="49" spans="1:5" x14ac:dyDescent="0.3">
      <c r="A49" t="s">
        <v>0</v>
      </c>
      <c r="B49" s="54" t="s">
        <v>0</v>
      </c>
      <c r="C49" s="48" t="s">
        <v>146</v>
      </c>
      <c r="D49" t="s">
        <v>0</v>
      </c>
      <c r="E49" t="s">
        <v>0</v>
      </c>
    </row>
    <row r="50" spans="1:5" x14ac:dyDescent="0.3">
      <c r="A50" t="s">
        <v>0</v>
      </c>
      <c r="B50" s="54" t="s">
        <v>0</v>
      </c>
      <c r="C50" s="48" t="s">
        <v>147</v>
      </c>
      <c r="D50" t="s">
        <v>0</v>
      </c>
      <c r="E50" t="s">
        <v>0</v>
      </c>
    </row>
    <row r="51" spans="1:5" x14ac:dyDescent="0.3">
      <c r="A51" t="s">
        <v>0</v>
      </c>
      <c r="B51" s="54" t="s">
        <v>0</v>
      </c>
      <c r="C51" s="48" t="s">
        <v>148</v>
      </c>
      <c r="D51" t="s">
        <v>0</v>
      </c>
      <c r="E51" t="s">
        <v>0</v>
      </c>
    </row>
    <row r="52" spans="1:5" x14ac:dyDescent="0.3">
      <c r="A52" t="s">
        <v>0</v>
      </c>
      <c r="B52" s="54" t="s">
        <v>0</v>
      </c>
      <c r="C52" s="48" t="s">
        <v>149</v>
      </c>
      <c r="D52" t="s">
        <v>0</v>
      </c>
      <c r="E52" t="s">
        <v>0</v>
      </c>
    </row>
    <row r="53" spans="1:5" x14ac:dyDescent="0.3">
      <c r="A53" t="s">
        <v>0</v>
      </c>
      <c r="B53" s="54" t="s">
        <v>0</v>
      </c>
      <c r="C53" s="48" t="s">
        <v>150</v>
      </c>
      <c r="D53" t="s">
        <v>0</v>
      </c>
      <c r="E53" t="s">
        <v>0</v>
      </c>
    </row>
    <row r="54" spans="1:5" x14ac:dyDescent="0.3">
      <c r="A54" t="s">
        <v>0</v>
      </c>
      <c r="B54" s="54" t="s">
        <v>0</v>
      </c>
      <c r="C54" s="48" t="s">
        <v>151</v>
      </c>
      <c r="D54" t="s">
        <v>0</v>
      </c>
      <c r="E54" t="s">
        <v>0</v>
      </c>
    </row>
    <row r="55" spans="1:5" x14ac:dyDescent="0.3">
      <c r="A55" t="s">
        <v>0</v>
      </c>
      <c r="B55" s="54" t="s">
        <v>0</v>
      </c>
      <c r="C55" s="48" t="s">
        <v>152</v>
      </c>
      <c r="D55" t="s">
        <v>0</v>
      </c>
      <c r="E55" t="s">
        <v>0</v>
      </c>
    </row>
    <row r="56" spans="1:5" x14ac:dyDescent="0.3">
      <c r="A56" t="s">
        <v>0</v>
      </c>
      <c r="B56" s="54" t="s">
        <v>0</v>
      </c>
      <c r="C56" s="48" t="s">
        <v>153</v>
      </c>
      <c r="D56" t="s">
        <v>0</v>
      </c>
      <c r="E56" t="s">
        <v>0</v>
      </c>
    </row>
    <row r="57" spans="1:5" ht="15" thickBot="1" x14ac:dyDescent="0.35">
      <c r="A57" t="s">
        <v>0</v>
      </c>
      <c r="B57" s="51" t="s">
        <v>154</v>
      </c>
      <c r="C57" s="56" t="s">
        <v>155</v>
      </c>
      <c r="D57" t="s">
        <v>0</v>
      </c>
      <c r="E57" t="s">
        <v>0</v>
      </c>
    </row>
    <row r="58" spans="1:5" ht="15" thickBot="1" x14ac:dyDescent="0.35">
      <c r="A58" t="s">
        <v>0</v>
      </c>
      <c r="B58" t="s">
        <v>0</v>
      </c>
      <c r="C58" t="s">
        <v>0</v>
      </c>
      <c r="D58" t="s">
        <v>0</v>
      </c>
      <c r="E58" t="s">
        <v>0</v>
      </c>
    </row>
    <row r="59" spans="1:5" ht="17.3" x14ac:dyDescent="0.35">
      <c r="A59" t="s">
        <v>0</v>
      </c>
      <c r="B59" s="80" t="s">
        <v>156</v>
      </c>
      <c r="C59" s="81"/>
      <c r="D59" t="s">
        <v>0</v>
      </c>
      <c r="E59" t="s">
        <v>0</v>
      </c>
    </row>
    <row r="60" spans="1:5" x14ac:dyDescent="0.3">
      <c r="A60" t="s">
        <v>0</v>
      </c>
      <c r="B60" s="41" t="s">
        <v>91</v>
      </c>
      <c r="C60" s="42" t="s">
        <v>157</v>
      </c>
      <c r="D60" t="s">
        <v>0</v>
      </c>
      <c r="E60" t="s">
        <v>0</v>
      </c>
    </row>
    <row r="61" spans="1:5" x14ac:dyDescent="0.3">
      <c r="A61" t="s">
        <v>0</v>
      </c>
      <c r="B61" s="41" t="s">
        <v>105</v>
      </c>
      <c r="C61" s="43" t="s">
        <v>158</v>
      </c>
      <c r="D61" t="s">
        <v>0</v>
      </c>
      <c r="E61" t="s">
        <v>0</v>
      </c>
    </row>
    <row r="62" spans="1:5" x14ac:dyDescent="0.3">
      <c r="A62" t="s">
        <v>0</v>
      </c>
      <c r="B62" s="41" t="s">
        <v>133</v>
      </c>
      <c r="C62" s="42" t="s">
        <v>159</v>
      </c>
      <c r="D62" t="s">
        <v>0</v>
      </c>
      <c r="E62" t="s">
        <v>0</v>
      </c>
    </row>
    <row r="63" spans="1:5" x14ac:dyDescent="0.3">
      <c r="A63" t="s">
        <v>0</v>
      </c>
      <c r="B63" s="53" t="s">
        <v>0</v>
      </c>
      <c r="C63" s="42" t="s">
        <v>160</v>
      </c>
      <c r="D63" t="s">
        <v>0</v>
      </c>
      <c r="E63" t="s">
        <v>0</v>
      </c>
    </row>
    <row r="64" spans="1:5" x14ac:dyDescent="0.3">
      <c r="A64" t="s">
        <v>0</v>
      </c>
      <c r="B64" s="41" t="s">
        <v>161</v>
      </c>
      <c r="C64" s="44" t="s">
        <v>162</v>
      </c>
      <c r="D64" t="s">
        <v>0</v>
      </c>
      <c r="E64" t="s">
        <v>0</v>
      </c>
    </row>
    <row r="65" spans="1:5" x14ac:dyDescent="0.3">
      <c r="A65" t="s">
        <v>0</v>
      </c>
      <c r="B65" s="53" t="s">
        <v>0</v>
      </c>
      <c r="C65" s="44" t="s">
        <v>163</v>
      </c>
      <c r="D65" t="s">
        <v>0</v>
      </c>
      <c r="E65" t="s">
        <v>0</v>
      </c>
    </row>
    <row r="66" spans="1:5" ht="15" thickBot="1" x14ac:dyDescent="0.35">
      <c r="A66" t="s">
        <v>0</v>
      </c>
      <c r="B66" s="45" t="s">
        <v>164</v>
      </c>
      <c r="C66" s="46" t="s">
        <v>165</v>
      </c>
      <c r="D66" t="s">
        <v>0</v>
      </c>
      <c r="E66" t="s">
        <v>0</v>
      </c>
    </row>
    <row r="67" spans="1:5" ht="15" thickBot="1" x14ac:dyDescent="0.35">
      <c r="A67" t="s">
        <v>0</v>
      </c>
      <c r="B67" t="s">
        <v>0</v>
      </c>
      <c r="C67" t="s">
        <v>0</v>
      </c>
      <c r="D67" t="s">
        <v>0</v>
      </c>
      <c r="E67" t="s">
        <v>0</v>
      </c>
    </row>
    <row r="68" spans="1:5" ht="17.3" x14ac:dyDescent="0.35">
      <c r="A68" t="s">
        <v>0</v>
      </c>
      <c r="B68" s="80" t="s">
        <v>166</v>
      </c>
      <c r="C68" s="81"/>
      <c r="D68" t="s">
        <v>0</v>
      </c>
      <c r="E68" t="s">
        <v>0</v>
      </c>
    </row>
    <row r="69" spans="1:5" x14ac:dyDescent="0.3">
      <c r="A69" t="s">
        <v>0</v>
      </c>
      <c r="B69" s="57" t="s">
        <v>167</v>
      </c>
      <c r="C69" s="58" t="s">
        <v>168</v>
      </c>
      <c r="D69" t="s">
        <v>0</v>
      </c>
      <c r="E69" t="s">
        <v>0</v>
      </c>
    </row>
    <row r="70" spans="1:5" x14ac:dyDescent="0.3">
      <c r="A70" t="s">
        <v>0</v>
      </c>
      <c r="B70" s="57" t="s">
        <v>169</v>
      </c>
      <c r="C70" s="58" t="s">
        <v>170</v>
      </c>
      <c r="D70" t="s">
        <v>0</v>
      </c>
      <c r="E70" t="s">
        <v>0</v>
      </c>
    </row>
    <row r="71" spans="1:5" x14ac:dyDescent="0.3">
      <c r="A71" t="s">
        <v>0</v>
      </c>
      <c r="B71" s="57" t="s">
        <v>171</v>
      </c>
      <c r="C71" s="58" t="s">
        <v>172</v>
      </c>
      <c r="D71" t="s">
        <v>0</v>
      </c>
      <c r="E71" t="s">
        <v>0</v>
      </c>
    </row>
    <row r="72" spans="1:5" x14ac:dyDescent="0.3">
      <c r="A72" t="s">
        <v>0</v>
      </c>
      <c r="B72" s="59" t="s">
        <v>0</v>
      </c>
      <c r="C72" s="60" t="s">
        <v>173</v>
      </c>
      <c r="D72" t="s">
        <v>0</v>
      </c>
      <c r="E72" t="s">
        <v>0</v>
      </c>
    </row>
    <row r="73" spans="1:5" x14ac:dyDescent="0.3">
      <c r="A73" t="s">
        <v>0</v>
      </c>
      <c r="B73" s="57" t="s">
        <v>174</v>
      </c>
      <c r="C73" s="61" t="s">
        <v>175</v>
      </c>
      <c r="D73" t="s">
        <v>0</v>
      </c>
      <c r="E73" t="s">
        <v>0</v>
      </c>
    </row>
    <row r="74" spans="1:5" ht="15" thickBot="1" x14ac:dyDescent="0.35">
      <c r="A74" t="s">
        <v>0</v>
      </c>
      <c r="B74" s="62" t="s">
        <v>101</v>
      </c>
      <c r="C74" s="63" t="s">
        <v>176</v>
      </c>
      <c r="D74" t="s">
        <v>0</v>
      </c>
      <c r="E74" t="s">
        <v>0</v>
      </c>
    </row>
    <row r="75" spans="1:5" ht="15" thickBot="1" x14ac:dyDescent="0.35">
      <c r="A75" t="s">
        <v>0</v>
      </c>
      <c r="B75" t="s">
        <v>0</v>
      </c>
      <c r="C75" t="s">
        <v>0</v>
      </c>
      <c r="D75" t="s">
        <v>0</v>
      </c>
      <c r="E75" t="s">
        <v>0</v>
      </c>
    </row>
    <row r="76" spans="1:5" ht="17.3" x14ac:dyDescent="0.3">
      <c r="A76" t="s">
        <v>0</v>
      </c>
      <c r="B76" s="82" t="s">
        <v>177</v>
      </c>
      <c r="C76" s="83"/>
      <c r="D76" s="83"/>
      <c r="E76" s="84"/>
    </row>
    <row r="77" spans="1:5" ht="16.149999999999999" x14ac:dyDescent="0.3">
      <c r="A77" t="s">
        <v>0</v>
      </c>
      <c r="B77" s="39" t="s">
        <v>178</v>
      </c>
      <c r="C77" s="38" t="s">
        <v>179</v>
      </c>
      <c r="D77" s="38" t="s">
        <v>180</v>
      </c>
      <c r="E77" s="40" t="s">
        <v>181</v>
      </c>
    </row>
    <row r="78" spans="1:5" x14ac:dyDescent="0.3">
      <c r="A78" t="s">
        <v>0</v>
      </c>
      <c r="B78" s="14" t="s">
        <v>182</v>
      </c>
      <c r="C78" s="8" t="s">
        <v>183</v>
      </c>
      <c r="D78" s="8" t="s">
        <v>184</v>
      </c>
      <c r="E78" s="15" t="s">
        <v>185</v>
      </c>
    </row>
    <row r="79" spans="1:5" x14ac:dyDescent="0.3">
      <c r="A79" t="s">
        <v>0</v>
      </c>
      <c r="B79" s="14" t="s">
        <v>186</v>
      </c>
      <c r="C79" s="8" t="s">
        <v>187</v>
      </c>
      <c r="D79" s="8" t="s">
        <v>188</v>
      </c>
      <c r="E79" s="15" t="s">
        <v>185</v>
      </c>
    </row>
    <row r="80" spans="1:5" x14ac:dyDescent="0.3">
      <c r="A80" t="s">
        <v>0</v>
      </c>
      <c r="B80" s="14" t="s">
        <v>189</v>
      </c>
      <c r="C80" s="8" t="s">
        <v>190</v>
      </c>
      <c r="D80" s="8" t="s">
        <v>191</v>
      </c>
      <c r="E80" s="15" t="s">
        <v>185</v>
      </c>
    </row>
    <row r="81" spans="1:5" x14ac:dyDescent="0.3">
      <c r="A81" t="s">
        <v>0</v>
      </c>
      <c r="B81" s="14" t="s">
        <v>192</v>
      </c>
      <c r="C81" s="8" t="s">
        <v>193</v>
      </c>
      <c r="D81" s="8" t="s">
        <v>194</v>
      </c>
      <c r="E81" s="15" t="s">
        <v>185</v>
      </c>
    </row>
    <row r="82" spans="1:5" ht="15" thickBot="1" x14ac:dyDescent="0.35">
      <c r="A82" t="s">
        <v>0</v>
      </c>
      <c r="B82" s="16" t="s">
        <v>195</v>
      </c>
      <c r="C82" s="17" t="s">
        <v>196</v>
      </c>
      <c r="D82" s="17" t="s">
        <v>197</v>
      </c>
      <c r="E82" s="19" t="s">
        <v>198</v>
      </c>
    </row>
  </sheetData>
  <mergeCells count="11">
    <mergeCell ref="B59:C59"/>
    <mergeCell ref="B68:C68"/>
    <mergeCell ref="B76:E76"/>
    <mergeCell ref="B1:C1"/>
    <mergeCell ref="B2:C2"/>
    <mergeCell ref="B4:C4"/>
    <mergeCell ref="B12:C12"/>
    <mergeCell ref="B22:C22"/>
    <mergeCell ref="B29:C29"/>
    <mergeCell ref="B38:C38"/>
    <mergeCell ref="B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Model_Summary</vt:lpstr>
      <vt:lpstr>Coefficient_Details</vt:lpstr>
      <vt:lpstr>Formulas_Model_Summary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2026-06-24T16:35:40Z</dcterms:created>
  <dcterms:modified xsi:type="dcterms:W3CDTF">2026-06-24T17:04:58Z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2026-06-24T16:41:52Z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15798903-531f-42a9-8d5a-3147d7d7e9fa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